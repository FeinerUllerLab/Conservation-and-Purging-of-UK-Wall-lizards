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orkDIR\JX34\2025\2025_7_JULY\12\TREE_3476\MMC\"/>
    </mc:Choice>
  </mc:AlternateContent>
  <bookViews>
    <workbookView xWindow="0" yWindow="765" windowWidth="29400" windowHeight="1836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13" i="1"/>
  <c r="E23" i="1"/>
  <c r="E14" i="1"/>
  <c r="E6" i="1"/>
  <c r="E15" i="1"/>
  <c r="E22" i="1"/>
  <c r="E5" i="1"/>
  <c r="E18" i="1"/>
  <c r="E24" i="1"/>
  <c r="E21" i="1"/>
  <c r="E20" i="1"/>
  <c r="E17" i="1"/>
  <c r="E9" i="1"/>
  <c r="E7" i="1"/>
  <c r="E8" i="1"/>
  <c r="E4" i="1"/>
  <c r="E2" i="1"/>
  <c r="E12" i="1"/>
  <c r="E3" i="1"/>
  <c r="E19" i="1"/>
  <c r="E11" i="1"/>
  <c r="E16" i="1"/>
  <c r="E10" i="1"/>
</calcChain>
</file>

<file path=xl/sharedStrings.xml><?xml version="1.0" encoding="utf-8"?>
<sst xmlns="http://schemas.openxmlformats.org/spreadsheetml/2006/main" count="103" uniqueCount="95">
  <si>
    <t>non-ROH het/kb</t>
  </si>
  <si>
    <t>Population</t>
  </si>
  <si>
    <t>sample size</t>
  </si>
  <si>
    <t>Kakapo (stewart island)</t>
  </si>
  <si>
    <t>Alpine ibex</t>
  </si>
  <si>
    <t>years</t>
  </si>
  <si>
    <t>Cape Peninsula caracals</t>
  </si>
  <si>
    <t>Seychelles magpie robin</t>
  </si>
  <si>
    <t>Mountain gorilla</t>
  </si>
  <si>
    <t>Gulf of California Fin Whales</t>
  </si>
  <si>
    <t>Chatham island black robin</t>
  </si>
  <si>
    <t>FROH_2Mb</t>
  </si>
  <si>
    <t>ID_risk_2mb</t>
  </si>
  <si>
    <t>Wrangel Island Woolly Mammoth</t>
  </si>
  <si>
    <t>?</t>
  </si>
  <si>
    <t>Saremi et al. 2019</t>
  </si>
  <si>
    <t>von Seth et al. 2022</t>
  </si>
  <si>
    <t>Robinson et al. 2019</t>
  </si>
  <si>
    <t>Dussex et al. 2021</t>
  </si>
  <si>
    <t>Robinson et al. 2021</t>
  </si>
  <si>
    <t>Kyriazis et al. 2024</t>
  </si>
  <si>
    <t>Kyriazis et al. 2025</t>
  </si>
  <si>
    <t>van der Valk et al. 2018</t>
  </si>
  <si>
    <t>Nigenda-Morales et al. 2023</t>
  </si>
  <si>
    <t>Cavill et al. 2024</t>
  </si>
  <si>
    <t>Kardos et al. 2023</t>
  </si>
  <si>
    <t>Dehasque et al. 2024</t>
  </si>
  <si>
    <t>Grossen et al. 2020</t>
  </si>
  <si>
    <t>Robinson et al. 2022</t>
  </si>
  <si>
    <t>Kyriazis et al. 2023</t>
  </si>
  <si>
    <t>Notes</t>
  </si>
  <si>
    <t>Ethiopian wolf</t>
  </si>
  <si>
    <t>averaged across Maung' Re and Hokorereoro</t>
  </si>
  <si>
    <t>2014-2020</t>
  </si>
  <si>
    <t>Wilder et al. 2024</t>
  </si>
  <si>
    <t>Northern white rhino</t>
  </si>
  <si>
    <t>1985-2017</t>
  </si>
  <si>
    <t>2003-2011</t>
  </si>
  <si>
    <t>1988-2012</t>
  </si>
  <si>
    <t>~1989</t>
  </si>
  <si>
    <t>Pacific pocket mouse</t>
  </si>
  <si>
    <t>Isle Royale wolf</t>
  </si>
  <si>
    <t>Florida panther</t>
  </si>
  <si>
    <t>Isle Royale moose</t>
  </si>
  <si>
    <t>Vaquita</t>
  </si>
  <si>
    <t>1988-2008</t>
  </si>
  <si>
    <t>Robinson et al. 2018</t>
  </si>
  <si>
    <t>Minnesota moose</t>
  </si>
  <si>
    <t>2013-2014</t>
  </si>
  <si>
    <t>2009-2012</t>
  </si>
  <si>
    <t>Los Angeles mountain lion</t>
  </si>
  <si>
    <t>Minnesota wolf</t>
  </si>
  <si>
    <t>results for San Miguel island</t>
  </si>
  <si>
    <t>results approximated based on 2.5Mb ROH cutoff</t>
  </si>
  <si>
    <t>4.3-9.2 kya</t>
  </si>
  <si>
    <t>California condor</t>
  </si>
  <si>
    <t>1952-1972</t>
  </si>
  <si>
    <t>References</t>
  </si>
  <si>
    <t>Saremi et al. 2019; Ochoa et al. 2019; Aguilar et al. 2025</t>
  </si>
  <si>
    <t>estimated from 4 pre-admixture individuals from Big Cypress National Preserve</t>
  </si>
  <si>
    <t>'Akikiki</t>
  </si>
  <si>
    <t>1995-2005</t>
  </si>
  <si>
    <t>2007-2021</t>
  </si>
  <si>
    <t>Southern resident killer whale</t>
  </si>
  <si>
    <t>Channel island fox</t>
  </si>
  <si>
    <t>1911-2020</t>
  </si>
  <si>
    <t>2014-2106</t>
  </si>
  <si>
    <t>Silver et al. 2024</t>
  </si>
  <si>
    <t>Orange bellied parrot</t>
  </si>
  <si>
    <t>Mooney et al. 2023</t>
  </si>
  <si>
    <t>Whooping crane</t>
  </si>
  <si>
    <t>Fonstsere et al. 2024</t>
  </si>
  <si>
    <t>Species name</t>
  </si>
  <si>
    <t>Puma concolor</t>
  </si>
  <si>
    <t>Petroica traversi</t>
  </si>
  <si>
    <t>Canis lupus</t>
  </si>
  <si>
    <t>Perognathus longimembris pacificus</t>
  </si>
  <si>
    <t>Strigops habroptilus</t>
  </si>
  <si>
    <t>Gymnogyps californianus</t>
  </si>
  <si>
    <t>Caracal caracal</t>
  </si>
  <si>
    <t>Gorilla beringei beringei</t>
  </si>
  <si>
    <t>Copsychus sechellarum</t>
  </si>
  <si>
    <t>Neophema chrysogaster</t>
  </si>
  <si>
    <t>Urocyon littoralis</t>
  </si>
  <si>
    <t>Ceratotherium simum cottoni</t>
  </si>
  <si>
    <t>Balaenoptera physalus</t>
  </si>
  <si>
    <t>Orcinus orca</t>
  </si>
  <si>
    <t>Mammuthus primigenius</t>
  </si>
  <si>
    <t>Oreomystis bairdi</t>
  </si>
  <si>
    <t>Capra ibex</t>
  </si>
  <si>
    <t>Alces alces</t>
  </si>
  <si>
    <t>Canis simensis</t>
  </si>
  <si>
    <t>Phocoena sinus</t>
  </si>
  <si>
    <t>Grus americana</t>
  </si>
  <si>
    <t>Wilder et al.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</si>
</sst>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topLeftCell="D1" zoomScale="125" zoomScaleNormal="170" workbookViewId="0">
      <selection activeCell="I9" sqref="I9"/>
    </sheetView>
  </sheetViews>
  <sheetFormatPr defaultColWidth="10.875" defaultRowHeight="15.75" x14ac:dyDescent="0.25"/>
  <cols>
    <col min="1" max="1" width="29.375" style="1" bestFit="1" customWidth="1"/>
    <col min="2" max="2" width="31.375" style="1" bestFit="1" customWidth="1"/>
    <col min="3" max="3" width="14.625" style="1" bestFit="1" customWidth="1"/>
    <col min="4" max="4" width="10.625" style="1" bestFit="1" customWidth="1"/>
    <col min="5" max="5" width="11.625" style="1" customWidth="1"/>
    <col min="6" max="6" width="10.875" style="1" customWidth="1"/>
    <col min="7" max="7" width="10.125" style="1" bestFit="1" customWidth="1"/>
    <col min="8" max="8" width="48.625" style="1" bestFit="1" customWidth="1"/>
    <col min="9" max="9" width="68" style="1" bestFit="1" customWidth="1"/>
    <col min="10" max="16384" width="10.875" style="1"/>
  </cols>
  <sheetData>
    <row r="1" spans="1:9" s="2" customFormat="1" x14ac:dyDescent="0.25">
      <c r="A1" s="4" t="s">
        <v>1</v>
      </c>
      <c r="B1" s="4" t="s">
        <v>72</v>
      </c>
      <c r="C1" s="4" t="s">
        <v>0</v>
      </c>
      <c r="D1" s="4" t="s">
        <v>11</v>
      </c>
      <c r="E1" s="4" t="s">
        <v>12</v>
      </c>
      <c r="F1" s="4" t="s">
        <v>2</v>
      </c>
      <c r="G1" s="4" t="s">
        <v>5</v>
      </c>
      <c r="H1" s="4" t="s">
        <v>57</v>
      </c>
      <c r="I1" s="4" t="s">
        <v>30</v>
      </c>
    </row>
    <row r="2" spans="1:9" x14ac:dyDescent="0.25">
      <c r="A2" s="3" t="s">
        <v>42</v>
      </c>
      <c r="B2" s="3" t="s">
        <v>73</v>
      </c>
      <c r="C2" s="3">
        <v>1.5</v>
      </c>
      <c r="D2" s="3">
        <v>0.56999999999999995</v>
      </c>
      <c r="E2" s="3">
        <f t="shared" ref="E2:E24" si="0">C2*D2</f>
        <v>0.85499999999999998</v>
      </c>
      <c r="F2" s="3">
        <v>4</v>
      </c>
      <c r="G2" s="3">
        <v>1992</v>
      </c>
      <c r="H2" s="3" t="s">
        <v>58</v>
      </c>
      <c r="I2" s="3" t="s">
        <v>59</v>
      </c>
    </row>
    <row r="3" spans="1:9" x14ac:dyDescent="0.25">
      <c r="A3" s="3" t="s">
        <v>10</v>
      </c>
      <c r="B3" s="3" t="s">
        <v>74</v>
      </c>
      <c r="C3" s="3">
        <v>1.1000000000000001</v>
      </c>
      <c r="D3" s="3">
        <v>0.54</v>
      </c>
      <c r="E3" s="3">
        <f t="shared" si="0"/>
        <v>0.59400000000000008</v>
      </c>
      <c r="F3" s="3">
        <v>35</v>
      </c>
      <c r="G3" s="3" t="s">
        <v>33</v>
      </c>
      <c r="H3" s="3" t="s">
        <v>16</v>
      </c>
      <c r="I3" s="3" t="s">
        <v>32</v>
      </c>
    </row>
    <row r="4" spans="1:9" x14ac:dyDescent="0.25">
      <c r="A4" s="3" t="s">
        <v>41</v>
      </c>
      <c r="B4" s="3" t="s">
        <v>75</v>
      </c>
      <c r="C4" s="3">
        <v>1.8</v>
      </c>
      <c r="D4" s="3">
        <v>0.32</v>
      </c>
      <c r="E4" s="3">
        <f t="shared" si="0"/>
        <v>0.57600000000000007</v>
      </c>
      <c r="F4" s="3">
        <v>11</v>
      </c>
      <c r="G4" s="3" t="s">
        <v>38</v>
      </c>
      <c r="H4" s="3" t="s">
        <v>17</v>
      </c>
      <c r="I4" s="3"/>
    </row>
    <row r="5" spans="1:9" x14ac:dyDescent="0.25">
      <c r="A5" s="3" t="s">
        <v>50</v>
      </c>
      <c r="B5" s="3" t="s">
        <v>73</v>
      </c>
      <c r="C5" s="3">
        <v>1.5</v>
      </c>
      <c r="D5" s="3">
        <v>0.3</v>
      </c>
      <c r="E5" s="3">
        <f t="shared" si="0"/>
        <v>0.44999999999999996</v>
      </c>
      <c r="F5" s="3">
        <v>2</v>
      </c>
      <c r="G5" s="3" t="s">
        <v>49</v>
      </c>
      <c r="H5" s="3" t="s">
        <v>15</v>
      </c>
      <c r="I5" s="3"/>
    </row>
    <row r="6" spans="1:9" x14ac:dyDescent="0.25">
      <c r="A6" s="3" t="s">
        <v>40</v>
      </c>
      <c r="B6" s="3" t="s">
        <v>76</v>
      </c>
      <c r="C6" s="3">
        <v>2.7</v>
      </c>
      <c r="D6" s="3">
        <v>0.15</v>
      </c>
      <c r="E6" s="3">
        <f t="shared" si="0"/>
        <v>0.40500000000000003</v>
      </c>
      <c r="F6" s="3">
        <v>1</v>
      </c>
      <c r="G6" s="3">
        <v>2012</v>
      </c>
      <c r="H6" s="3" t="s">
        <v>94</v>
      </c>
      <c r="I6" s="3"/>
    </row>
    <row r="7" spans="1:9" x14ac:dyDescent="0.25">
      <c r="A7" s="3" t="s">
        <v>3</v>
      </c>
      <c r="B7" s="3" t="s">
        <v>77</v>
      </c>
      <c r="C7" s="3">
        <v>0.92</v>
      </c>
      <c r="D7" s="3">
        <v>0.34</v>
      </c>
      <c r="E7" s="3">
        <f t="shared" si="0"/>
        <v>0.31280000000000002</v>
      </c>
      <c r="F7" s="3">
        <v>35</v>
      </c>
      <c r="G7" s="3">
        <v>1997</v>
      </c>
      <c r="H7" s="3" t="s">
        <v>18</v>
      </c>
      <c r="I7" s="3"/>
    </row>
    <row r="8" spans="1:9" x14ac:dyDescent="0.25">
      <c r="A8" s="3" t="s">
        <v>55</v>
      </c>
      <c r="B8" s="3" t="s">
        <v>78</v>
      </c>
      <c r="C8" s="3">
        <v>1.7</v>
      </c>
      <c r="D8" s="3">
        <v>0.14000000000000001</v>
      </c>
      <c r="E8" s="3">
        <f t="shared" si="0"/>
        <v>0.23800000000000002</v>
      </c>
      <c r="F8" s="3">
        <v>2</v>
      </c>
      <c r="G8" s="3" t="s">
        <v>37</v>
      </c>
      <c r="H8" s="3" t="s">
        <v>19</v>
      </c>
      <c r="I8" s="3"/>
    </row>
    <row r="9" spans="1:9" x14ac:dyDescent="0.25">
      <c r="A9" s="3" t="s">
        <v>6</v>
      </c>
      <c r="B9" s="3" t="s">
        <v>79</v>
      </c>
      <c r="C9" s="3">
        <v>1.2</v>
      </c>
      <c r="D9" s="3">
        <v>0.17</v>
      </c>
      <c r="E9" s="3">
        <f t="shared" si="0"/>
        <v>0.20400000000000001</v>
      </c>
      <c r="F9" s="3">
        <v>9</v>
      </c>
      <c r="G9" s="3">
        <v>2014</v>
      </c>
      <c r="H9" s="3" t="s">
        <v>20</v>
      </c>
      <c r="I9" s="3"/>
    </row>
    <row r="10" spans="1:9" x14ac:dyDescent="0.25">
      <c r="A10" s="3" t="s">
        <v>51</v>
      </c>
      <c r="B10" s="3" t="s">
        <v>75</v>
      </c>
      <c r="C10" s="3">
        <v>1.8</v>
      </c>
      <c r="D10" s="3">
        <v>0.1</v>
      </c>
      <c r="E10" s="3">
        <f t="shared" si="0"/>
        <v>0.18000000000000002</v>
      </c>
      <c r="F10" s="3">
        <v>6</v>
      </c>
      <c r="G10" s="3" t="s">
        <v>39</v>
      </c>
      <c r="H10" s="3" t="s">
        <v>17</v>
      </c>
      <c r="I10" s="3"/>
    </row>
    <row r="11" spans="1:9" x14ac:dyDescent="0.25">
      <c r="A11" s="3" t="s">
        <v>8</v>
      </c>
      <c r="B11" s="3" t="s">
        <v>80</v>
      </c>
      <c r="C11" s="3">
        <v>0.76</v>
      </c>
      <c r="D11" s="3">
        <v>0.22</v>
      </c>
      <c r="E11" s="3">
        <f t="shared" si="0"/>
        <v>0.16720000000000002</v>
      </c>
      <c r="F11" s="3">
        <v>7</v>
      </c>
      <c r="G11" s="3" t="s">
        <v>14</v>
      </c>
      <c r="H11" s="3" t="s">
        <v>22</v>
      </c>
      <c r="I11" s="3" t="s">
        <v>53</v>
      </c>
    </row>
    <row r="12" spans="1:9" x14ac:dyDescent="0.25">
      <c r="A12" s="3" t="s">
        <v>7</v>
      </c>
      <c r="B12" s="3" t="s">
        <v>81</v>
      </c>
      <c r="C12" s="3">
        <v>0.44</v>
      </c>
      <c r="D12" s="3">
        <v>0.35</v>
      </c>
      <c r="E12" s="3">
        <f t="shared" si="0"/>
        <v>0.154</v>
      </c>
      <c r="F12" s="3"/>
      <c r="G12" s="3"/>
      <c r="H12" s="3" t="s">
        <v>24</v>
      </c>
      <c r="I12" s="3"/>
    </row>
    <row r="13" spans="1:9" x14ac:dyDescent="0.25">
      <c r="A13" s="3" t="s">
        <v>68</v>
      </c>
      <c r="B13" s="3" t="s">
        <v>82</v>
      </c>
      <c r="C13" s="3">
        <v>1.4</v>
      </c>
      <c r="D13" s="3">
        <v>0.11</v>
      </c>
      <c r="E13" s="3">
        <f t="shared" si="0"/>
        <v>0.154</v>
      </c>
      <c r="F13" s="3">
        <v>19</v>
      </c>
      <c r="G13" s="3" t="s">
        <v>66</v>
      </c>
      <c r="H13" s="3" t="s">
        <v>67</v>
      </c>
      <c r="I13" s="3"/>
    </row>
    <row r="14" spans="1:9" x14ac:dyDescent="0.25">
      <c r="A14" s="3" t="s">
        <v>64</v>
      </c>
      <c r="B14" s="3" t="s">
        <v>83</v>
      </c>
      <c r="C14" s="3">
        <v>0.26</v>
      </c>
      <c r="D14" s="3">
        <v>0.56999999999999995</v>
      </c>
      <c r="E14" s="3">
        <f t="shared" si="0"/>
        <v>0.1482</v>
      </c>
      <c r="F14" s="3">
        <v>2</v>
      </c>
      <c r="G14" s="3" t="s">
        <v>45</v>
      </c>
      <c r="H14" s="3" t="s">
        <v>46</v>
      </c>
      <c r="I14" s="3" t="s">
        <v>52</v>
      </c>
    </row>
    <row r="15" spans="1:9" x14ac:dyDescent="0.25">
      <c r="A15" s="3" t="s">
        <v>35</v>
      </c>
      <c r="B15" s="3" t="s">
        <v>84</v>
      </c>
      <c r="C15" s="3">
        <v>1.2</v>
      </c>
      <c r="D15" s="3">
        <v>0.12</v>
      </c>
      <c r="E15" s="3">
        <f t="shared" si="0"/>
        <v>0.14399999999999999</v>
      </c>
      <c r="F15" s="3">
        <v>9</v>
      </c>
      <c r="G15" s="3" t="s">
        <v>56</v>
      </c>
      <c r="H15" s="3" t="s">
        <v>34</v>
      </c>
      <c r="I15" s="3"/>
    </row>
    <row r="16" spans="1:9" x14ac:dyDescent="0.25">
      <c r="A16" s="3" t="s">
        <v>9</v>
      </c>
      <c r="B16" s="3" t="s">
        <v>85</v>
      </c>
      <c r="C16" s="3">
        <v>1.5</v>
      </c>
      <c r="D16" s="3">
        <v>9.5000000000000001E-2</v>
      </c>
      <c r="E16" s="3">
        <f t="shared" si="0"/>
        <v>0.14250000000000002</v>
      </c>
      <c r="F16" s="3">
        <v>20</v>
      </c>
      <c r="G16" s="3" t="s">
        <v>61</v>
      </c>
      <c r="H16" s="3" t="s">
        <v>23</v>
      </c>
      <c r="I16" s="3"/>
    </row>
    <row r="17" spans="1:9" x14ac:dyDescent="0.25">
      <c r="A17" s="3" t="s">
        <v>63</v>
      </c>
      <c r="B17" s="3" t="s">
        <v>86</v>
      </c>
      <c r="C17" s="3">
        <v>0.62</v>
      </c>
      <c r="D17" s="3">
        <v>0.2</v>
      </c>
      <c r="E17" s="3">
        <f t="shared" si="0"/>
        <v>0.124</v>
      </c>
      <c r="F17" s="3">
        <v>100</v>
      </c>
      <c r="G17" s="3" t="s">
        <v>65</v>
      </c>
      <c r="H17" s="3" t="s">
        <v>25</v>
      </c>
      <c r="I17" s="3"/>
    </row>
    <row r="18" spans="1:9" x14ac:dyDescent="0.25">
      <c r="A18" s="3" t="s">
        <v>13</v>
      </c>
      <c r="B18" s="3" t="s">
        <v>87</v>
      </c>
      <c r="C18" s="3">
        <v>0.72</v>
      </c>
      <c r="D18" s="3">
        <v>0.13</v>
      </c>
      <c r="E18" s="3">
        <f t="shared" si="0"/>
        <v>9.3600000000000003E-2</v>
      </c>
      <c r="F18" s="3">
        <v>14</v>
      </c>
      <c r="G18" s="3" t="s">
        <v>54</v>
      </c>
      <c r="H18" s="3" t="s">
        <v>26</v>
      </c>
      <c r="I18" s="3"/>
    </row>
    <row r="19" spans="1:9" x14ac:dyDescent="0.25">
      <c r="A19" s="5" t="s">
        <v>60</v>
      </c>
      <c r="B19" s="5" t="s">
        <v>88</v>
      </c>
      <c r="C19" s="3">
        <v>2</v>
      </c>
      <c r="D19" s="3">
        <v>4.2000000000000003E-2</v>
      </c>
      <c r="E19" s="3">
        <f t="shared" si="0"/>
        <v>8.4000000000000005E-2</v>
      </c>
      <c r="F19" s="3">
        <v>31</v>
      </c>
      <c r="G19" s="3" t="s">
        <v>62</v>
      </c>
      <c r="H19" s="3" t="s">
        <v>21</v>
      </c>
      <c r="I19" s="3"/>
    </row>
    <row r="20" spans="1:9" x14ac:dyDescent="0.25">
      <c r="A20" s="3" t="s">
        <v>4</v>
      </c>
      <c r="B20" s="3" t="s">
        <v>89</v>
      </c>
      <c r="C20" s="3">
        <v>0.5</v>
      </c>
      <c r="D20" s="3">
        <v>0.15</v>
      </c>
      <c r="E20" s="3">
        <f t="shared" si="0"/>
        <v>7.4999999999999997E-2</v>
      </c>
      <c r="F20" s="3">
        <v>29</v>
      </c>
      <c r="G20" s="3" t="s">
        <v>14</v>
      </c>
      <c r="H20" s="3" t="s">
        <v>27</v>
      </c>
      <c r="I20" s="3" t="s">
        <v>53</v>
      </c>
    </row>
    <row r="21" spans="1:9" x14ac:dyDescent="0.25">
      <c r="A21" s="3" t="s">
        <v>43</v>
      </c>
      <c r="B21" s="3" t="s">
        <v>90</v>
      </c>
      <c r="C21" s="3">
        <v>0.36</v>
      </c>
      <c r="D21" s="3">
        <v>0.17</v>
      </c>
      <c r="E21" s="3">
        <f t="shared" si="0"/>
        <v>6.1200000000000004E-2</v>
      </c>
      <c r="F21" s="3">
        <v>7</v>
      </c>
      <c r="G21" s="3">
        <v>2005</v>
      </c>
      <c r="H21" s="3" t="s">
        <v>29</v>
      </c>
      <c r="I21" s="3"/>
    </row>
    <row r="22" spans="1:9" x14ac:dyDescent="0.25">
      <c r="A22" s="3" t="s">
        <v>31</v>
      </c>
      <c r="B22" s="3" t="s">
        <v>91</v>
      </c>
      <c r="C22" s="3">
        <v>0.27</v>
      </c>
      <c r="D22" s="3">
        <v>0.12</v>
      </c>
      <c r="E22" s="3">
        <f t="shared" si="0"/>
        <v>3.2399999999999998E-2</v>
      </c>
      <c r="F22" s="3">
        <v>10</v>
      </c>
      <c r="G22" s="3" t="s">
        <v>14</v>
      </c>
      <c r="H22" s="3" t="s">
        <v>69</v>
      </c>
      <c r="I22" s="3"/>
    </row>
    <row r="23" spans="1:9" x14ac:dyDescent="0.25">
      <c r="A23" s="3" t="s">
        <v>47</v>
      </c>
      <c r="B23" s="3" t="s">
        <v>90</v>
      </c>
      <c r="C23" s="3">
        <v>0.36</v>
      </c>
      <c r="D23" s="3">
        <v>1.4E-2</v>
      </c>
      <c r="E23" s="3">
        <f t="shared" si="0"/>
        <v>5.0400000000000002E-3</v>
      </c>
      <c r="F23" s="3">
        <v>9</v>
      </c>
      <c r="G23" s="3" t="s">
        <v>48</v>
      </c>
      <c r="H23" s="3" t="s">
        <v>29</v>
      </c>
      <c r="I23" s="3"/>
    </row>
    <row r="24" spans="1:9" x14ac:dyDescent="0.25">
      <c r="A24" s="3" t="s">
        <v>44</v>
      </c>
      <c r="B24" s="3" t="s">
        <v>92</v>
      </c>
      <c r="C24" s="3">
        <v>9.5000000000000001E-2</v>
      </c>
      <c r="D24" s="3">
        <v>3.2000000000000001E-2</v>
      </c>
      <c r="E24" s="3">
        <f t="shared" si="0"/>
        <v>3.0400000000000002E-3</v>
      </c>
      <c r="F24" s="3">
        <v>20</v>
      </c>
      <c r="G24" s="3" t="s">
        <v>36</v>
      </c>
      <c r="H24" s="3" t="s">
        <v>28</v>
      </c>
      <c r="I24" s="3"/>
    </row>
    <row r="25" spans="1:9" x14ac:dyDescent="0.25">
      <c r="A25" s="3" t="s">
        <v>70</v>
      </c>
      <c r="B25" s="3" t="s">
        <v>93</v>
      </c>
      <c r="C25" s="3">
        <v>1.03</v>
      </c>
      <c r="D25" s="3">
        <v>0.1</v>
      </c>
      <c r="E25" s="3">
        <f>C25*D25</f>
        <v>0.10300000000000001</v>
      </c>
      <c r="F25" s="3">
        <v>1</v>
      </c>
      <c r="G25" s="3">
        <v>2007</v>
      </c>
      <c r="H25" s="3" t="s">
        <v>71</v>
      </c>
      <c r="I25" s="3"/>
    </row>
  </sheetData>
  <sortState ref="A2:I24">
    <sortCondition descending="1" ref="E2:E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Kyriazis</dc:creator>
  <cp:lastModifiedBy>E738334</cp:lastModifiedBy>
  <dcterms:created xsi:type="dcterms:W3CDTF">2024-06-28T17:50:40Z</dcterms:created>
  <dcterms:modified xsi:type="dcterms:W3CDTF">2025-07-12T01:50:17Z</dcterms:modified>
</cp:coreProperties>
</file>